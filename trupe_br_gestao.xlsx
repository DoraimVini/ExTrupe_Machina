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tos" sheetId="1" state="visible" r:id="rId3"/>
    <sheet name="Estoque" sheetId="2" state="visible" r:id="rId4"/>
    <sheet name="Vendas" sheetId="3" state="visible" r:id="rId5"/>
    <sheet name="Dashboard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<sst xmlns="http://schemas.openxmlformats.org/spreadsheetml/2006/main" count="158" uniqueCount="70">
  <si>
    <t xml:space="preserve">TRUPE BR — CADASTRO DE PRODUTOS</t>
  </si>
  <si>
    <t xml:space="preserve">Azul = entrada manual  |  Preto = calculado  |  Amarelo = observação importante</t>
  </si>
  <si>
    <t xml:space="preserve">Produto</t>
  </si>
  <si>
    <t xml:space="preserve">Categoria</t>
  </si>
  <si>
    <t xml:space="preserve">Preço Venda (R$)</t>
  </si>
  <si>
    <t xml:space="preserve">Material Principal</t>
  </si>
  <si>
    <t xml:space="preserve">Custo Fio/Cordão (R$)</t>
  </si>
  <si>
    <t xml:space="preserve">Custo Embalagem (R$)</t>
  </si>
  <si>
    <t xml:space="preserve">Outros Custos (R$)</t>
  </si>
  <si>
    <t xml:space="preserve">Custo Total (R$)</t>
  </si>
  <si>
    <t xml:space="preserve">Margem (%)</t>
  </si>
  <si>
    <t xml:space="preserve">Observações</t>
  </si>
  <si>
    <t xml:space="preserve">Top</t>
  </si>
  <si>
    <t xml:space="preserve">Roupas</t>
  </si>
  <si>
    <t xml:space="preserve">Biquíni (sutiã)</t>
  </si>
  <si>
    <t xml:space="preserve">Praia</t>
  </si>
  <si>
    <t xml:space="preserve">Turbante</t>
  </si>
  <si>
    <t xml:space="preserve">Acessórios</t>
  </si>
  <si>
    <t xml:space="preserve">Faixa Triangular</t>
  </si>
  <si>
    <t xml:space="preserve">Faixa de Amarrar</t>
  </si>
  <si>
    <t xml:space="preserve">Faixa Larga</t>
  </si>
  <si>
    <t xml:space="preserve">Touca</t>
  </si>
  <si>
    <t xml:space="preserve">Boné</t>
  </si>
  <si>
    <t xml:space="preserve">Bolsa</t>
  </si>
  <si>
    <t xml:space="preserve">Saia</t>
  </si>
  <si>
    <t xml:space="preserve">Poncho</t>
  </si>
  <si>
    <t xml:space="preserve">Saia Macramê</t>
  </si>
  <si>
    <t xml:space="preserve">⚠️ Custo do cordão calculado separado — material diferente do fio de cone</t>
  </si>
  <si>
    <t xml:space="preserve">Macramê (outros)</t>
  </si>
  <si>
    <t xml:space="preserve">Decoração</t>
  </si>
  <si>
    <t xml:space="preserve">TRUPE BR — ESTOQUE</t>
  </si>
  <si>
    <t xml:space="preserve">Estoque base: 26/04 | Produção registrada: semana atual | ⚠️ Crítico = 2 ou menos</t>
  </si>
  <si>
    <t xml:space="preserve">Estoque 26/04</t>
  </si>
  <si>
    <t xml:space="preserve">Produzido (semana)</t>
  </si>
  <si>
    <t xml:space="preserve">Vendido Feira</t>
  </si>
  <si>
    <t xml:space="preserve">Vendido Online</t>
  </si>
  <si>
    <t xml:space="preserve">Estoque Atual</t>
  </si>
  <si>
    <t xml:space="preserve">Status</t>
  </si>
  <si>
    <t xml:space="preserve">Observação</t>
  </si>
  <si>
    <t xml:space="preserve">Novo produto</t>
  </si>
  <si>
    <t xml:space="preserve">Novo produto — material: cordão de algodão</t>
  </si>
  <si>
    <t xml:space="preserve">TRUPE BR — REGISTRO DE VENDAS</t>
  </si>
  <si>
    <t xml:space="preserve">Canal: Feira Glória / Feira Lavradio / Online  |  Pgto: Pix / Crédito / Débito / Dinheiro</t>
  </si>
  <si>
    <t xml:space="preserve">Data</t>
  </si>
  <si>
    <t xml:space="preserve">Canal</t>
  </si>
  <si>
    <t xml:space="preserve">Qtd</t>
  </si>
  <si>
    <t xml:space="preserve">Preço Unit (R$)</t>
  </si>
  <si>
    <t xml:space="preserve">Forma Pgto</t>
  </si>
  <si>
    <t xml:space="preserve">Receita (R$)</t>
  </si>
  <si>
    <t xml:space="preserve">Custo Unit (R$)</t>
  </si>
  <si>
    <t xml:space="preserve">Lucro (R$)</t>
  </si>
  <si>
    <t xml:space="preserve">26/04/2025</t>
  </si>
  <si>
    <t xml:space="preserve">Feira Glória</t>
  </si>
  <si>
    <t xml:space="preserve">Crédito</t>
  </si>
  <si>
    <t xml:space="preserve">Pix</t>
  </si>
  <si>
    <t xml:space="preserve">Débito</t>
  </si>
  <si>
    <t xml:space="preserve">TOTAL</t>
  </si>
  <si>
    <t xml:space="preserve">TRUPE BR — RESUMO FINANCEIRO</t>
  </si>
  <si>
    <t xml:space="preserve">RECEITA TOTAL</t>
  </si>
  <si>
    <t xml:space="preserve">← Glória 26/04: R$ 930</t>
  </si>
  <si>
    <t xml:space="preserve">RECEITA POR CANAL</t>
  </si>
  <si>
    <t xml:space="preserve">VALOR</t>
  </si>
  <si>
    <t xml:space="preserve">CUSTO TOTAL</t>
  </si>
  <si>
    <t xml:space="preserve">Feira Lavradio</t>
  </si>
  <si>
    <t xml:space="preserve">Online</t>
  </si>
  <si>
    <t xml:space="preserve">LUCRO LÍQUIDO</t>
  </si>
  <si>
    <t xml:space="preserve">RECEITA POR PRODUTO</t>
  </si>
  <si>
    <t xml:space="preserve">MARGEM LÍQUIDA</t>
  </si>
  <si>
    <t xml:space="preserve">TICKET MÉDIO</t>
  </si>
  <si>
    <t xml:space="preserve">TOTAL DE PEÇAS VENDIDAS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</si>
</sst>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&quot;R$ &quot;#,##0.00"/>
    <numFmt numFmtId="166" formatCode="0.0%"/>
    <numFmt numFmtId="167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i val="true"/>
      <sz val="9"/>
      <color rgb="FF888888"/>
      <name val="Arial"/>
      <family val="0"/>
      <charset val="1"/>
    </font>
    <font>
      <b val="true"/>
      <sz val="11"/>
      <color rgb="FF1A1A2E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0"/>
      <color rgb="FF1A1A2E"/>
      <name val="Arial"/>
      <family val="0"/>
      <charset val="1"/>
    </font>
    <font>
      <sz val="10"/>
      <color rgb="FF1A1A2E"/>
      <name val="Arial"/>
      <family val="0"/>
      <charset val="1"/>
    </font>
    <font>
      <b val="true"/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A1A2E"/>
        <bgColor rgb="FF333300"/>
      </patternFill>
    </fill>
    <fill>
      <patternFill patternType="solid">
        <fgColor rgb="FFE8C5A0"/>
        <bgColor rgb="FFCCCCCC"/>
      </patternFill>
    </fill>
    <fill>
      <patternFill patternType="solid">
        <fgColor rgb="FFFFFFFF"/>
        <bgColor rgb="FFF9F5F0"/>
      </patternFill>
    </fill>
    <fill>
      <patternFill patternType="solid">
        <fgColor rgb="FFF9F5F0"/>
        <bgColor rgb="FFFFFFFF"/>
      </patternFill>
    </fill>
    <fill>
      <patternFill patternType="solid">
        <fgColor rgb="FFFFF9C4"/>
        <bgColor rgb="FFFFFF9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/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9C4"/>
      <rgbColor rgb="FFF9F5F0"/>
      <rgbColor rgb="FF660066"/>
      <rgbColor rgb="FFFF8080"/>
      <rgbColor rgb="FF0066CC"/>
      <rgbColor rgb="FFA8D5A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8C4D5"/>
      <rgbColor rgb="FFFF99CC"/>
      <rgbColor rgb="FFCC99FF"/>
      <rgbColor rgb="FFE8C5A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8C5A0"/>
    <pageSetUpPr fitToPage="false"/>
  </sheetPr>
  <dimension ref="A1:J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12"/>
    <col collapsed="false" customWidth="true" hidden="false" outlineLevel="0" max="10" min="10" style="0" width="42"/>
  </cols>
  <sheetData>
    <row r="1" customFormat="false" ht="39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27.75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</row>
    <row r="4" customFormat="false" ht="24" hidden="false" customHeight="true" outlineLevel="0" collapsed="false">
      <c r="A4" s="4" t="s">
        <v>12</v>
      </c>
      <c r="B4" s="4" t="s">
        <v>13</v>
      </c>
      <c r="C4" s="5" t="n">
        <v>85</v>
      </c>
      <c r="E4" s="5" t="n">
        <v>18</v>
      </c>
      <c r="F4" s="5" t="n">
        <v>3</v>
      </c>
      <c r="G4" s="5" t="n">
        <v>2</v>
      </c>
      <c r="H4" s="6" t="n">
        <f aca="false">E4+F4+G4</f>
        <v>23</v>
      </c>
      <c r="I4" s="7" t="n">
        <f aca="false">IF(C4&gt;0,(C4-H4)/C4,0)</f>
        <v>0.729411764705882</v>
      </c>
      <c r="J4" s="4"/>
    </row>
    <row r="5" customFormat="false" ht="24" hidden="false" customHeight="true" outlineLevel="0" collapsed="false">
      <c r="A5" s="4" t="s">
        <v>14</v>
      </c>
      <c r="B5" s="4" t="s">
        <v>15</v>
      </c>
      <c r="C5" s="5" t="n">
        <v>65</v>
      </c>
      <c r="E5" s="5" t="n">
        <v>12</v>
      </c>
      <c r="F5" s="5" t="n">
        <v>2</v>
      </c>
      <c r="G5" s="5" t="n">
        <v>1.5</v>
      </c>
      <c r="H5" s="6" t="n">
        <f aca="false">E5+F5+G5</f>
        <v>15.5</v>
      </c>
      <c r="I5" s="7" t="n">
        <f aca="false">IF(C5&gt;0,(C5-H5)/C5,0)</f>
        <v>0.761538461538462</v>
      </c>
      <c r="J5" s="4"/>
    </row>
    <row r="6" customFormat="false" ht="24" hidden="false" customHeight="true" outlineLevel="0" collapsed="false">
      <c r="A6" s="4" t="s">
        <v>16</v>
      </c>
      <c r="B6" s="4" t="s">
        <v>17</v>
      </c>
      <c r="C6" s="5" t="n">
        <v>45</v>
      </c>
      <c r="E6" s="5" t="n">
        <v>8</v>
      </c>
      <c r="F6" s="5" t="n">
        <v>1</v>
      </c>
      <c r="G6" s="5" t="n">
        <v>0.5</v>
      </c>
      <c r="H6" s="6" t="n">
        <f aca="false">E6+F6+G6</f>
        <v>9.5</v>
      </c>
      <c r="I6" s="7" t="n">
        <f aca="false">IF(C6&gt;0,(C6-H6)/C6,0)</f>
        <v>0.788888888888889</v>
      </c>
      <c r="J6" s="4"/>
    </row>
    <row r="7" customFormat="false" ht="24" hidden="false" customHeight="true" outlineLevel="0" collapsed="false">
      <c r="A7" s="4" t="s">
        <v>18</v>
      </c>
      <c r="B7" s="4" t="s">
        <v>17</v>
      </c>
      <c r="C7" s="5" t="n">
        <v>35</v>
      </c>
      <c r="E7" s="5" t="n">
        <v>5</v>
      </c>
      <c r="F7" s="5" t="n">
        <v>1</v>
      </c>
      <c r="G7" s="5" t="n">
        <v>0.5</v>
      </c>
      <c r="H7" s="6" t="n">
        <f aca="false">E7+F7+G7</f>
        <v>6.5</v>
      </c>
      <c r="I7" s="7" t="n">
        <f aca="false">IF(C7&gt;0,(C7-H7)/C7,0)</f>
        <v>0.814285714285714</v>
      </c>
      <c r="J7" s="4"/>
    </row>
    <row r="8" customFormat="false" ht="24" hidden="false" customHeight="true" outlineLevel="0" collapsed="false">
      <c r="A8" s="4" t="s">
        <v>19</v>
      </c>
      <c r="B8" s="4" t="s">
        <v>17</v>
      </c>
      <c r="C8" s="5" t="n">
        <v>35</v>
      </c>
      <c r="E8" s="5" t="n">
        <v>5</v>
      </c>
      <c r="F8" s="5" t="n">
        <v>1</v>
      </c>
      <c r="G8" s="5" t="n">
        <v>0.5</v>
      </c>
      <c r="H8" s="6" t="n">
        <f aca="false">E8+F8+G8</f>
        <v>6.5</v>
      </c>
      <c r="I8" s="7" t="n">
        <f aca="false">IF(C8&gt;0,(C8-H8)/C8,0)</f>
        <v>0.814285714285714</v>
      </c>
      <c r="J8" s="4"/>
    </row>
    <row r="9" customFormat="false" ht="24" hidden="false" customHeight="true" outlineLevel="0" collapsed="false">
      <c r="A9" s="4" t="s">
        <v>20</v>
      </c>
      <c r="B9" s="4" t="s">
        <v>17</v>
      </c>
      <c r="C9" s="5" t="n">
        <v>45</v>
      </c>
      <c r="E9" s="5" t="n">
        <v>8</v>
      </c>
      <c r="F9" s="5" t="n">
        <v>1</v>
      </c>
      <c r="G9" s="5" t="n">
        <v>0.5</v>
      </c>
      <c r="H9" s="6" t="n">
        <f aca="false">E9+F9+G9</f>
        <v>9.5</v>
      </c>
      <c r="I9" s="7" t="n">
        <f aca="false">IF(C9&gt;0,(C9-H9)/C9,0)</f>
        <v>0.788888888888889</v>
      </c>
      <c r="J9" s="4"/>
    </row>
    <row r="10" customFormat="false" ht="24" hidden="false" customHeight="true" outlineLevel="0" collapsed="false">
      <c r="A10" s="4" t="s">
        <v>21</v>
      </c>
      <c r="B10" s="4" t="s">
        <v>17</v>
      </c>
      <c r="C10" s="5" t="n">
        <v>55</v>
      </c>
      <c r="E10" s="5" t="n">
        <v>10</v>
      </c>
      <c r="F10" s="5" t="n">
        <v>2</v>
      </c>
      <c r="G10" s="5" t="n">
        <v>1</v>
      </c>
      <c r="H10" s="6" t="n">
        <f aca="false">E10+F10+G10</f>
        <v>13</v>
      </c>
      <c r="I10" s="7" t="n">
        <f aca="false">IF(C10&gt;0,(C10-H10)/C10,0)</f>
        <v>0.763636363636364</v>
      </c>
      <c r="J10" s="4"/>
    </row>
    <row r="11" customFormat="false" ht="24" hidden="false" customHeight="true" outlineLevel="0" collapsed="false">
      <c r="A11" s="4" t="s">
        <v>22</v>
      </c>
      <c r="B11" s="4" t="s">
        <v>17</v>
      </c>
      <c r="C11" s="5" t="n">
        <v>40</v>
      </c>
      <c r="E11" s="5" t="n">
        <v>8</v>
      </c>
      <c r="F11" s="5" t="n">
        <v>1</v>
      </c>
      <c r="G11" s="5" t="n">
        <v>0.5</v>
      </c>
      <c r="H11" s="6" t="n">
        <f aca="false">E11+F11+G11</f>
        <v>9.5</v>
      </c>
      <c r="I11" s="7" t="n">
        <f aca="false">IF(C11&gt;0,(C11-H11)/C11,0)</f>
        <v>0.7625</v>
      </c>
      <c r="J11" s="4"/>
    </row>
    <row r="12" customFormat="false" ht="24" hidden="false" customHeight="true" outlineLevel="0" collapsed="false">
      <c r="A12" s="4" t="s">
        <v>23</v>
      </c>
      <c r="B12" s="4" t="s">
        <v>17</v>
      </c>
      <c r="C12" s="5" t="n">
        <v>80</v>
      </c>
      <c r="E12" s="5" t="n">
        <v>20</v>
      </c>
      <c r="F12" s="5" t="n">
        <v>3</v>
      </c>
      <c r="G12" s="5" t="n">
        <v>2</v>
      </c>
      <c r="H12" s="6" t="n">
        <f aca="false">E12+F12+G12</f>
        <v>25</v>
      </c>
      <c r="I12" s="7" t="n">
        <f aca="false">IF(C12&gt;0,(C12-H12)/C12,0)</f>
        <v>0.6875</v>
      </c>
      <c r="J12" s="4"/>
    </row>
    <row r="13" customFormat="false" ht="24" hidden="false" customHeight="true" outlineLevel="0" collapsed="false">
      <c r="A13" s="4" t="s">
        <v>24</v>
      </c>
      <c r="B13" s="4" t="s">
        <v>13</v>
      </c>
      <c r="C13" s="5" t="n">
        <v>90</v>
      </c>
      <c r="E13" s="5" t="n">
        <v>22</v>
      </c>
      <c r="F13" s="5" t="n">
        <v>3</v>
      </c>
      <c r="G13" s="5" t="n">
        <v>2</v>
      </c>
      <c r="H13" s="6" t="n">
        <f aca="false">E13+F13+G13</f>
        <v>27</v>
      </c>
      <c r="I13" s="7" t="n">
        <f aca="false">IF(C13&gt;0,(C13-H13)/C13,0)</f>
        <v>0.7</v>
      </c>
      <c r="J13" s="4"/>
    </row>
    <row r="14" customFormat="false" ht="24" hidden="false" customHeight="true" outlineLevel="0" collapsed="false">
      <c r="A14" s="4" t="s">
        <v>25</v>
      </c>
      <c r="B14" s="4" t="s">
        <v>13</v>
      </c>
      <c r="C14" s="5" t="n">
        <v>150</v>
      </c>
      <c r="E14" s="5" t="n">
        <v>30</v>
      </c>
      <c r="F14" s="5" t="n">
        <v>3</v>
      </c>
      <c r="G14" s="5" t="n">
        <v>2</v>
      </c>
      <c r="H14" s="6" t="n">
        <f aca="false">E14+F14+G14</f>
        <v>35</v>
      </c>
      <c r="I14" s="7" t="n">
        <f aca="false">IF(C14&gt;0,(C14-H14)/C14,0)</f>
        <v>0.766666666666667</v>
      </c>
      <c r="J14" s="4"/>
    </row>
    <row r="15" customFormat="false" ht="24" hidden="false" customHeight="true" outlineLevel="0" collapsed="false">
      <c r="A15" s="4" t="s">
        <v>26</v>
      </c>
      <c r="B15" s="4" t="s">
        <v>13</v>
      </c>
      <c r="C15" s="5" t="n">
        <v>200</v>
      </c>
      <c r="E15" s="5" t="n">
        <v>0</v>
      </c>
      <c r="F15" s="5" t="n">
        <v>3</v>
      </c>
      <c r="G15" s="5" t="n">
        <v>2</v>
      </c>
      <c r="H15" s="6" t="n">
        <f aca="false">E15+F15+G15</f>
        <v>5</v>
      </c>
      <c r="I15" s="7" t="n">
        <f aca="false">IF(C15&gt;0,(C15-H15)/C15,0)</f>
        <v>0.975</v>
      </c>
      <c r="J15" s="8" t="s">
        <v>27</v>
      </c>
    </row>
    <row r="16" customFormat="false" ht="24" hidden="false" customHeight="true" outlineLevel="0" collapsed="false">
      <c r="A16" s="4" t="s">
        <v>28</v>
      </c>
      <c r="B16" s="4" t="s">
        <v>29</v>
      </c>
      <c r="C16" s="5" t="n">
        <v>60</v>
      </c>
      <c r="E16" s="5" t="n">
        <v>0</v>
      </c>
      <c r="F16" s="5" t="n">
        <v>2</v>
      </c>
      <c r="G16" s="5" t="n">
        <v>1</v>
      </c>
      <c r="H16" s="6" t="n">
        <f aca="false">E16+F16+G16</f>
        <v>3</v>
      </c>
      <c r="I16" s="7" t="n">
        <f aca="false">IF(C16&gt;0,(C16-H16)/C16,0)</f>
        <v>0.95</v>
      </c>
      <c r="J16" s="8" t="s">
        <v>27</v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8D5A2"/>
    <pageSetUpPr fitToPage="false"/>
  </sheetPr>
  <dimension ref="A1:H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5" min="4" style="0" width="16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36"/>
  </cols>
  <sheetData>
    <row r="1" customFormat="false" ht="39.75" hidden="false" customHeight="true" outlineLevel="0" collapsed="false">
      <c r="A1" s="1" t="s">
        <v>30</v>
      </c>
      <c r="B1" s="1"/>
      <c r="C1" s="1"/>
      <c r="D1" s="1"/>
      <c r="E1" s="1"/>
      <c r="F1" s="1"/>
      <c r="G1" s="1"/>
      <c r="H1" s="1"/>
    </row>
    <row r="2" customFormat="false" ht="15.75" hidden="false" customHeight="true" outlineLevel="0" collapsed="false">
      <c r="A2" s="2" t="s">
        <v>31</v>
      </c>
      <c r="B2" s="2"/>
      <c r="C2" s="2"/>
      <c r="D2" s="2"/>
      <c r="E2" s="2"/>
      <c r="F2" s="2"/>
      <c r="G2" s="2"/>
      <c r="H2" s="2"/>
    </row>
    <row r="3" customFormat="false" ht="27.75" hidden="false" customHeight="true" outlineLevel="0" collapsed="false">
      <c r="A3" s="3" t="s">
        <v>2</v>
      </c>
      <c r="B3" s="3" t="s">
        <v>32</v>
      </c>
      <c r="C3" s="3" t="s">
        <v>33</v>
      </c>
      <c r="D3" s="3" t="s">
        <v>34</v>
      </c>
      <c r="E3" s="3" t="s">
        <v>35</v>
      </c>
      <c r="F3" s="3" t="s">
        <v>36</v>
      </c>
      <c r="G3" s="3" t="s">
        <v>37</v>
      </c>
      <c r="H3" s="3" t="s">
        <v>38</v>
      </c>
    </row>
    <row r="4" customFormat="false" ht="21.75" hidden="false" customHeight="true" outlineLevel="0" collapsed="false">
      <c r="A4" s="4" t="s">
        <v>12</v>
      </c>
      <c r="B4" s="9" t="n">
        <v>11</v>
      </c>
      <c r="C4" s="9" t="n">
        <v>9</v>
      </c>
      <c r="D4" s="9" t="n">
        <v>0</v>
      </c>
      <c r="E4" s="9" t="n">
        <v>0</v>
      </c>
      <c r="F4" s="10" t="n">
        <f aca="false">B4+C4-D4-E4</f>
        <v>20</v>
      </c>
      <c r="G4" s="10" t="str">
        <f aca="false">IF(F4=0,"❌ Sem estoque",IF(F4&lt;=2,"⚠️ Crítico","✅ OK"))</f>
        <v>✅ OK</v>
      </c>
      <c r="H4" s="4"/>
    </row>
    <row r="5" customFormat="false" ht="21.75" hidden="false" customHeight="true" outlineLevel="0" collapsed="false">
      <c r="A5" s="4" t="s">
        <v>14</v>
      </c>
      <c r="B5" s="9" t="n">
        <v>10</v>
      </c>
      <c r="C5" s="9" t="n">
        <v>5</v>
      </c>
      <c r="D5" s="9" t="n">
        <v>0</v>
      </c>
      <c r="E5" s="9" t="n">
        <v>0</v>
      </c>
      <c r="F5" s="10" t="n">
        <f aca="false">B5+C5-D5-E5</f>
        <v>15</v>
      </c>
      <c r="G5" s="10" t="str">
        <f aca="false">IF(F5=0,"❌ Sem estoque",IF(F5&lt;=2,"⚠️ Crítico","✅ OK"))</f>
        <v>✅ OK</v>
      </c>
      <c r="H5" s="4"/>
    </row>
    <row r="6" customFormat="false" ht="21.75" hidden="false" customHeight="true" outlineLevel="0" collapsed="false">
      <c r="A6" s="4" t="s">
        <v>16</v>
      </c>
      <c r="B6" s="9" t="n">
        <v>23</v>
      </c>
      <c r="C6" s="9" t="n">
        <v>0</v>
      </c>
      <c r="D6" s="9" t="n">
        <v>0</v>
      </c>
      <c r="E6" s="9" t="n">
        <v>0</v>
      </c>
      <c r="F6" s="10" t="n">
        <f aca="false">B6+C6-D6-E6</f>
        <v>23</v>
      </c>
      <c r="G6" s="10" t="str">
        <f aca="false">IF(F6=0,"❌ Sem estoque",IF(F6&lt;=2,"⚠️ Crítico","✅ OK"))</f>
        <v>✅ OK</v>
      </c>
      <c r="H6" s="4"/>
    </row>
    <row r="7" customFormat="false" ht="21.75" hidden="false" customHeight="true" outlineLevel="0" collapsed="false">
      <c r="A7" s="4" t="s">
        <v>18</v>
      </c>
      <c r="B7" s="9" t="n">
        <v>12</v>
      </c>
      <c r="C7" s="9" t="n">
        <v>6</v>
      </c>
      <c r="D7" s="9" t="n">
        <v>0</v>
      </c>
      <c r="E7" s="9" t="n">
        <v>0</v>
      </c>
      <c r="F7" s="10" t="n">
        <f aca="false">B7+C7-D7-E7</f>
        <v>18</v>
      </c>
      <c r="G7" s="10" t="str">
        <f aca="false">IF(F7=0,"❌ Sem estoque",IF(F7&lt;=2,"⚠️ Crítico","✅ OK"))</f>
        <v>✅ OK</v>
      </c>
      <c r="H7" s="4"/>
    </row>
    <row r="8" customFormat="false" ht="21.75" hidden="false" customHeight="true" outlineLevel="0" collapsed="false">
      <c r="A8" s="4" t="s">
        <v>19</v>
      </c>
      <c r="B8" s="9" t="n">
        <v>12</v>
      </c>
      <c r="C8" s="9" t="n">
        <v>0</v>
      </c>
      <c r="D8" s="9" t="n">
        <v>0</v>
      </c>
      <c r="E8" s="9" t="n">
        <v>0</v>
      </c>
      <c r="F8" s="10" t="n">
        <f aca="false">B8+C8-D8-E8</f>
        <v>12</v>
      </c>
      <c r="G8" s="10" t="str">
        <f aca="false">IF(F8=0,"❌ Sem estoque",IF(F8&lt;=2,"⚠️ Crítico","✅ OK"))</f>
        <v>✅ OK</v>
      </c>
      <c r="H8" s="4"/>
    </row>
    <row r="9" customFormat="false" ht="21.75" hidden="false" customHeight="true" outlineLevel="0" collapsed="false">
      <c r="A9" s="4" t="s">
        <v>20</v>
      </c>
      <c r="B9" s="9" t="n">
        <v>2</v>
      </c>
      <c r="C9" s="9" t="n">
        <v>0</v>
      </c>
      <c r="D9" s="9" t="n">
        <v>0</v>
      </c>
      <c r="E9" s="9" t="n">
        <v>0</v>
      </c>
      <c r="F9" s="10" t="n">
        <f aca="false">B9+C9-D9-E9</f>
        <v>2</v>
      </c>
      <c r="G9" s="10" t="str">
        <f aca="false">IF(F9=0,"❌ Sem estoque",IF(F9&lt;=2,"⚠️ Crítico","✅ OK"))</f>
        <v>⚠️ Crítico</v>
      </c>
      <c r="H9" s="4"/>
    </row>
    <row r="10" customFormat="false" ht="21.75" hidden="false" customHeight="true" outlineLevel="0" collapsed="false">
      <c r="A10" s="4" t="s">
        <v>21</v>
      </c>
      <c r="B10" s="9" t="n">
        <v>8</v>
      </c>
      <c r="C10" s="9" t="n">
        <v>0</v>
      </c>
      <c r="D10" s="9" t="n">
        <v>0</v>
      </c>
      <c r="E10" s="9" t="n">
        <v>0</v>
      </c>
      <c r="F10" s="10" t="n">
        <f aca="false">B10+C10-D10-E10</f>
        <v>8</v>
      </c>
      <c r="G10" s="10" t="str">
        <f aca="false">IF(F10=0,"❌ Sem estoque",IF(F10&lt;=2,"⚠️ Crítico","✅ OK"))</f>
        <v>✅ OK</v>
      </c>
      <c r="H10" s="4"/>
    </row>
    <row r="11" customFormat="false" ht="21.75" hidden="false" customHeight="true" outlineLevel="0" collapsed="false">
      <c r="A11" s="4" t="s">
        <v>22</v>
      </c>
      <c r="B11" s="9" t="n">
        <v>0</v>
      </c>
      <c r="C11" s="9" t="n">
        <v>0</v>
      </c>
      <c r="D11" s="9" t="n">
        <v>0</v>
      </c>
      <c r="E11" s="9" t="n">
        <v>0</v>
      </c>
      <c r="F11" s="10" t="n">
        <f aca="false">B11+C11-D11-E11</f>
        <v>0</v>
      </c>
      <c r="G11" s="10" t="str">
        <f aca="false">IF(F11=0,"❌ Sem estoque",IF(F11&lt;=2,"⚠️ Crítico","✅ OK"))</f>
        <v>❌ Sem estoque</v>
      </c>
      <c r="H11" s="4"/>
    </row>
    <row r="12" customFormat="false" ht="21.75" hidden="false" customHeight="true" outlineLevel="0" collapsed="false">
      <c r="A12" s="4" t="s">
        <v>23</v>
      </c>
      <c r="B12" s="9" t="n">
        <v>2</v>
      </c>
      <c r="C12" s="9" t="n">
        <v>0</v>
      </c>
      <c r="D12" s="9" t="n">
        <v>0</v>
      </c>
      <c r="E12" s="9" t="n">
        <v>0</v>
      </c>
      <c r="F12" s="10" t="n">
        <f aca="false">B12+C12-D12-E12</f>
        <v>2</v>
      </c>
      <c r="G12" s="10" t="str">
        <f aca="false">IF(F12=0,"❌ Sem estoque",IF(F12&lt;=2,"⚠️ Crítico","✅ OK"))</f>
        <v>⚠️ Crítico</v>
      </c>
      <c r="H12" s="4"/>
    </row>
    <row r="13" customFormat="false" ht="21.75" hidden="false" customHeight="true" outlineLevel="0" collapsed="false">
      <c r="A13" s="4" t="s">
        <v>24</v>
      </c>
      <c r="B13" s="9" t="n">
        <v>2</v>
      </c>
      <c r="C13" s="9" t="n">
        <v>0</v>
      </c>
      <c r="D13" s="9" t="n">
        <v>0</v>
      </c>
      <c r="E13" s="9" t="n">
        <v>0</v>
      </c>
      <c r="F13" s="10" t="n">
        <f aca="false">B13+C13-D13-E13</f>
        <v>2</v>
      </c>
      <c r="G13" s="10" t="str">
        <f aca="false">IF(F13=0,"❌ Sem estoque",IF(F13&lt;=2,"⚠️ Crítico","✅ OK"))</f>
        <v>⚠️ Crítico</v>
      </c>
      <c r="H13" s="4"/>
    </row>
    <row r="14" customFormat="false" ht="21.75" hidden="false" customHeight="true" outlineLevel="0" collapsed="false">
      <c r="A14" s="4" t="s">
        <v>25</v>
      </c>
      <c r="B14" s="9" t="n">
        <v>0</v>
      </c>
      <c r="C14" s="9" t="n">
        <v>1</v>
      </c>
      <c r="D14" s="9" t="n">
        <v>0</v>
      </c>
      <c r="E14" s="9" t="n">
        <v>0</v>
      </c>
      <c r="F14" s="10" t="n">
        <f aca="false">B14+C14-D14-E14</f>
        <v>1</v>
      </c>
      <c r="G14" s="10" t="str">
        <f aca="false">IF(F14=0,"❌ Sem estoque",IF(F14&lt;=2,"⚠️ Crítico","✅ OK"))</f>
        <v>⚠️ Crítico</v>
      </c>
      <c r="H14" s="8" t="s">
        <v>39</v>
      </c>
    </row>
    <row r="15" customFormat="false" ht="21.75" hidden="false" customHeight="true" outlineLevel="0" collapsed="false">
      <c r="A15" s="4" t="s">
        <v>26</v>
      </c>
      <c r="B15" s="9" t="n">
        <v>1</v>
      </c>
      <c r="C15" s="9" t="n">
        <v>1</v>
      </c>
      <c r="D15" s="9" t="n">
        <v>0</v>
      </c>
      <c r="E15" s="9" t="n">
        <v>0</v>
      </c>
      <c r="F15" s="10" t="n">
        <f aca="false">B15+C15-D15-E15</f>
        <v>2</v>
      </c>
      <c r="G15" s="10" t="str">
        <f aca="false">IF(F15=0,"❌ Sem estoque",IF(F15&lt;=2,"⚠️ Crítico","✅ OK"))</f>
        <v>⚠️ Crítico</v>
      </c>
      <c r="H15" s="8" t="s">
        <v>40</v>
      </c>
    </row>
    <row r="16" customFormat="false" ht="21.75" hidden="false" customHeight="true" outlineLevel="0" collapsed="false">
      <c r="A16" s="4" t="s">
        <v>28</v>
      </c>
      <c r="B16" s="9" t="n">
        <v>0</v>
      </c>
      <c r="C16" s="9" t="n">
        <v>0</v>
      </c>
      <c r="D16" s="9" t="n">
        <v>0</v>
      </c>
      <c r="E16" s="9" t="n">
        <v>0</v>
      </c>
      <c r="F16" s="10" t="n">
        <f aca="false">B16+C16-D16-E16</f>
        <v>0</v>
      </c>
      <c r="G16" s="10" t="str">
        <f aca="false">IF(F16=0,"❌ Sem estoque",IF(F16&lt;=2,"⚠️ Crítico","✅ OK"))</f>
        <v>❌ Sem estoque</v>
      </c>
      <c r="H16" s="4"/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8C4D5"/>
    <pageSetUpPr fitToPage="false"/>
  </sheetPr>
  <dimension ref="A1:J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4" min="4" style="0" width="8"/>
    <col collapsed="false" customWidth="true" hidden="false" outlineLevel="0" max="5" min="5" style="0" width="16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10" min="9" style="0" width="14"/>
  </cols>
  <sheetData>
    <row r="1" customFormat="false" ht="39.75" hidden="false" customHeight="true" outlineLevel="0" collapsed="false">
      <c r="A1" s="1" t="s">
        <v>41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.75" hidden="false" customHeight="true" outlineLevel="0" collapsed="false">
      <c r="A2" s="2" t="s">
        <v>42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27.75" hidden="false" customHeight="true" outlineLevel="0" collapsed="false">
      <c r="A3" s="3" t="s">
        <v>43</v>
      </c>
      <c r="B3" s="3" t="s">
        <v>44</v>
      </c>
      <c r="C3" s="3" t="s">
        <v>2</v>
      </c>
      <c r="D3" s="3" t="s">
        <v>45</v>
      </c>
      <c r="E3" s="3" t="s">
        <v>46</v>
      </c>
      <c r="F3" s="3" t="s">
        <v>47</v>
      </c>
      <c r="G3" s="3" t="s">
        <v>48</v>
      </c>
      <c r="H3" s="3" t="s">
        <v>49</v>
      </c>
      <c r="I3" s="3" t="s">
        <v>9</v>
      </c>
      <c r="J3" s="3" t="s">
        <v>50</v>
      </c>
    </row>
    <row r="4" customFormat="false" ht="21.75" hidden="false" customHeight="true" outlineLevel="0" collapsed="false">
      <c r="A4" s="4" t="s">
        <v>51</v>
      </c>
      <c r="B4" s="4" t="s">
        <v>52</v>
      </c>
      <c r="C4" s="4" t="s">
        <v>14</v>
      </c>
      <c r="D4" s="9" t="n">
        <v>1</v>
      </c>
      <c r="E4" s="5" t="n">
        <v>65</v>
      </c>
      <c r="F4" s="4" t="s">
        <v>53</v>
      </c>
      <c r="G4" s="6" t="n">
        <f aca="false">D4*E4</f>
        <v>65</v>
      </c>
      <c r="H4" s="5" t="n">
        <v>15.5</v>
      </c>
      <c r="I4" s="6" t="n">
        <f aca="false">D4*H4</f>
        <v>15.5</v>
      </c>
      <c r="J4" s="6" t="n">
        <f aca="false">G4-I4</f>
        <v>49.5</v>
      </c>
    </row>
    <row r="5" customFormat="false" ht="21.75" hidden="false" customHeight="true" outlineLevel="0" collapsed="false">
      <c r="A5" s="4" t="s">
        <v>51</v>
      </c>
      <c r="B5" s="4" t="s">
        <v>52</v>
      </c>
      <c r="C5" s="4" t="s">
        <v>14</v>
      </c>
      <c r="D5" s="9" t="n">
        <v>2</v>
      </c>
      <c r="E5" s="5" t="n">
        <v>65</v>
      </c>
      <c r="F5" s="4" t="s">
        <v>53</v>
      </c>
      <c r="G5" s="6" t="n">
        <f aca="false">D5*E5</f>
        <v>130</v>
      </c>
      <c r="H5" s="5" t="n">
        <v>15.5</v>
      </c>
      <c r="I5" s="6" t="n">
        <f aca="false">D5*H5</f>
        <v>31</v>
      </c>
      <c r="J5" s="6" t="n">
        <f aca="false">G5-I5</f>
        <v>99</v>
      </c>
    </row>
    <row r="6" customFormat="false" ht="21.75" hidden="false" customHeight="true" outlineLevel="0" collapsed="false">
      <c r="A6" s="4" t="s">
        <v>51</v>
      </c>
      <c r="B6" s="4" t="s">
        <v>52</v>
      </c>
      <c r="C6" s="4" t="s">
        <v>18</v>
      </c>
      <c r="D6" s="9" t="n">
        <v>2</v>
      </c>
      <c r="E6" s="5" t="n">
        <v>35</v>
      </c>
      <c r="F6" s="4" t="s">
        <v>53</v>
      </c>
      <c r="G6" s="6" t="n">
        <f aca="false">D6*E6</f>
        <v>70</v>
      </c>
      <c r="H6" s="5" t="n">
        <v>6.5</v>
      </c>
      <c r="I6" s="6" t="n">
        <f aca="false">D6*H6</f>
        <v>13</v>
      </c>
      <c r="J6" s="6" t="n">
        <f aca="false">G6-I6</f>
        <v>57</v>
      </c>
    </row>
    <row r="7" customFormat="false" ht="21.75" hidden="false" customHeight="true" outlineLevel="0" collapsed="false">
      <c r="A7" s="4" t="s">
        <v>51</v>
      </c>
      <c r="B7" s="4" t="s">
        <v>52</v>
      </c>
      <c r="C7" s="4" t="s">
        <v>12</v>
      </c>
      <c r="D7" s="9" t="n">
        <v>1</v>
      </c>
      <c r="E7" s="5" t="n">
        <v>85</v>
      </c>
      <c r="F7" s="4" t="s">
        <v>53</v>
      </c>
      <c r="G7" s="6" t="n">
        <f aca="false">D7*E7</f>
        <v>85</v>
      </c>
      <c r="H7" s="5" t="n">
        <v>23</v>
      </c>
      <c r="I7" s="6" t="n">
        <f aca="false">D7*H7</f>
        <v>23</v>
      </c>
      <c r="J7" s="6" t="n">
        <f aca="false">G7-I7</f>
        <v>62</v>
      </c>
    </row>
    <row r="8" customFormat="false" ht="21.75" hidden="false" customHeight="true" outlineLevel="0" collapsed="false">
      <c r="A8" s="4" t="s">
        <v>51</v>
      </c>
      <c r="B8" s="4" t="s">
        <v>52</v>
      </c>
      <c r="C8" s="4" t="s">
        <v>22</v>
      </c>
      <c r="D8" s="9" t="n">
        <v>1</v>
      </c>
      <c r="E8" s="5" t="n">
        <v>40</v>
      </c>
      <c r="F8" s="4" t="s">
        <v>54</v>
      </c>
      <c r="G8" s="6" t="n">
        <f aca="false">D8*E8</f>
        <v>40</v>
      </c>
      <c r="H8" s="5" t="n">
        <v>9.5</v>
      </c>
      <c r="I8" s="6" t="n">
        <f aca="false">D8*H8</f>
        <v>9.5</v>
      </c>
      <c r="J8" s="6" t="n">
        <f aca="false">G8-I8</f>
        <v>30.5</v>
      </c>
    </row>
    <row r="9" customFormat="false" ht="21.75" hidden="false" customHeight="true" outlineLevel="0" collapsed="false">
      <c r="A9" s="4" t="s">
        <v>51</v>
      </c>
      <c r="B9" s="4" t="s">
        <v>52</v>
      </c>
      <c r="C9" s="4" t="s">
        <v>12</v>
      </c>
      <c r="D9" s="9" t="n">
        <v>1</v>
      </c>
      <c r="E9" s="5" t="n">
        <v>85</v>
      </c>
      <c r="F9" s="4" t="s">
        <v>54</v>
      </c>
      <c r="G9" s="6" t="n">
        <f aca="false">D9*E9</f>
        <v>85</v>
      </c>
      <c r="H9" s="5" t="n">
        <v>23</v>
      </c>
      <c r="I9" s="6" t="n">
        <f aca="false">D9*H9</f>
        <v>23</v>
      </c>
      <c r="J9" s="6" t="n">
        <f aca="false">G9-I9</f>
        <v>62</v>
      </c>
    </row>
    <row r="10" customFormat="false" ht="21.75" hidden="false" customHeight="true" outlineLevel="0" collapsed="false">
      <c r="A10" s="4" t="s">
        <v>51</v>
      </c>
      <c r="B10" s="4" t="s">
        <v>52</v>
      </c>
      <c r="C10" s="4" t="s">
        <v>18</v>
      </c>
      <c r="D10" s="9" t="n">
        <v>1</v>
      </c>
      <c r="E10" s="5" t="n">
        <v>35</v>
      </c>
      <c r="F10" s="4" t="s">
        <v>55</v>
      </c>
      <c r="G10" s="6" t="n">
        <f aca="false">D10*E10</f>
        <v>35</v>
      </c>
      <c r="H10" s="5" t="n">
        <v>6.5</v>
      </c>
      <c r="I10" s="6" t="n">
        <f aca="false">D10*H10</f>
        <v>6.5</v>
      </c>
      <c r="J10" s="6" t="n">
        <f aca="false">G10-I10</f>
        <v>28.5</v>
      </c>
    </row>
    <row r="11" customFormat="false" ht="21.75" hidden="false" customHeight="true" outlineLevel="0" collapsed="false">
      <c r="A11" s="4" t="s">
        <v>51</v>
      </c>
      <c r="B11" s="4" t="s">
        <v>52</v>
      </c>
      <c r="C11" s="4" t="s">
        <v>14</v>
      </c>
      <c r="D11" s="9" t="n">
        <v>1</v>
      </c>
      <c r="E11" s="5" t="n">
        <v>65</v>
      </c>
      <c r="F11" s="4" t="s">
        <v>55</v>
      </c>
      <c r="G11" s="6" t="n">
        <f aca="false">D11*E11</f>
        <v>65</v>
      </c>
      <c r="H11" s="5" t="n">
        <v>15.5</v>
      </c>
      <c r="I11" s="6" t="n">
        <f aca="false">D11*H11</f>
        <v>15.5</v>
      </c>
      <c r="J11" s="6" t="n">
        <f aca="false">G11-I11</f>
        <v>49.5</v>
      </c>
    </row>
    <row r="12" customFormat="false" ht="21.75" hidden="false" customHeight="true" outlineLevel="0" collapsed="false">
      <c r="A12" s="4" t="s">
        <v>51</v>
      </c>
      <c r="B12" s="4" t="s">
        <v>52</v>
      </c>
      <c r="C12" s="4" t="s">
        <v>12</v>
      </c>
      <c r="D12" s="9" t="n">
        <v>1</v>
      </c>
      <c r="E12" s="5" t="n">
        <v>85</v>
      </c>
      <c r="F12" s="4" t="s">
        <v>53</v>
      </c>
      <c r="G12" s="6" t="n">
        <f aca="false">D12*E12</f>
        <v>85</v>
      </c>
      <c r="H12" s="5" t="n">
        <v>23</v>
      </c>
      <c r="I12" s="6" t="n">
        <f aca="false">D12*H12</f>
        <v>23</v>
      </c>
      <c r="J12" s="6" t="n">
        <f aca="false">G12-I12</f>
        <v>62</v>
      </c>
    </row>
    <row r="13" customFormat="false" ht="21.75" hidden="false" customHeight="true" outlineLevel="0" collapsed="false">
      <c r="A13" s="4" t="s">
        <v>51</v>
      </c>
      <c r="B13" s="4" t="s">
        <v>52</v>
      </c>
      <c r="C13" s="4" t="s">
        <v>12</v>
      </c>
      <c r="D13" s="9" t="n">
        <v>1</v>
      </c>
      <c r="E13" s="5" t="n">
        <v>85</v>
      </c>
      <c r="F13" s="4" t="s">
        <v>53</v>
      </c>
      <c r="G13" s="6" t="n">
        <f aca="false">D13*E13</f>
        <v>85</v>
      </c>
      <c r="H13" s="5" t="n">
        <v>23</v>
      </c>
      <c r="I13" s="6" t="n">
        <f aca="false">D13*H13</f>
        <v>23</v>
      </c>
      <c r="J13" s="6" t="n">
        <f aca="false">G13-I13</f>
        <v>62</v>
      </c>
    </row>
    <row r="14" customFormat="false" ht="21.75" hidden="false" customHeight="true" outlineLevel="0" collapsed="false">
      <c r="A14" s="4" t="s">
        <v>51</v>
      </c>
      <c r="B14" s="4" t="s">
        <v>52</v>
      </c>
      <c r="C14" s="4" t="s">
        <v>19</v>
      </c>
      <c r="D14" s="9" t="n">
        <v>1</v>
      </c>
      <c r="E14" s="5" t="n">
        <v>35</v>
      </c>
      <c r="F14" s="4" t="s">
        <v>53</v>
      </c>
      <c r="G14" s="6" t="n">
        <f aca="false">D14*E14</f>
        <v>35</v>
      </c>
      <c r="H14" s="5" t="n">
        <v>6.5</v>
      </c>
      <c r="I14" s="6" t="n">
        <f aca="false">D14*H14</f>
        <v>6.5</v>
      </c>
      <c r="J14" s="6" t="n">
        <f aca="false">G14-I14</f>
        <v>28.5</v>
      </c>
    </row>
    <row r="15" customFormat="false" ht="21.75" hidden="false" customHeight="true" outlineLevel="0" collapsed="false">
      <c r="A15" s="4" t="s">
        <v>51</v>
      </c>
      <c r="B15" s="4" t="s">
        <v>52</v>
      </c>
      <c r="C15" s="4" t="s">
        <v>12</v>
      </c>
      <c r="D15" s="9" t="n">
        <v>1</v>
      </c>
      <c r="E15" s="5" t="n">
        <v>85</v>
      </c>
      <c r="F15" s="4" t="s">
        <v>53</v>
      </c>
      <c r="G15" s="6" t="n">
        <f aca="false">D15*E15</f>
        <v>85</v>
      </c>
      <c r="H15" s="5" t="n">
        <v>23</v>
      </c>
      <c r="I15" s="6" t="n">
        <f aca="false">D15*H15</f>
        <v>23</v>
      </c>
      <c r="J15" s="6" t="n">
        <f aca="false">G15-I15</f>
        <v>62</v>
      </c>
    </row>
    <row r="16" customFormat="false" ht="21.75" hidden="false" customHeight="true" outlineLevel="0" collapsed="false">
      <c r="A16" s="4" t="s">
        <v>51</v>
      </c>
      <c r="B16" s="4" t="s">
        <v>52</v>
      </c>
      <c r="C16" s="4" t="s">
        <v>14</v>
      </c>
      <c r="D16" s="9" t="n">
        <v>1</v>
      </c>
      <c r="E16" s="5" t="n">
        <v>65</v>
      </c>
      <c r="F16" s="4" t="s">
        <v>53</v>
      </c>
      <c r="G16" s="6" t="n">
        <f aca="false">D16*E16</f>
        <v>65</v>
      </c>
      <c r="H16" s="5" t="n">
        <v>15.5</v>
      </c>
      <c r="I16" s="6" t="n">
        <f aca="false">D16*H16</f>
        <v>15.5</v>
      </c>
      <c r="J16" s="6" t="n">
        <f aca="false">G16-I16</f>
        <v>49.5</v>
      </c>
    </row>
    <row r="17" customFormat="false" ht="25.5" hidden="false" customHeight="true" outlineLevel="0" collapsed="false">
      <c r="A17" s="11" t="s">
        <v>56</v>
      </c>
      <c r="B17" s="12"/>
      <c r="C17" s="12"/>
      <c r="D17" s="12"/>
      <c r="E17" s="12"/>
      <c r="F17" s="12"/>
      <c r="G17" s="13" t="n">
        <f aca="false">SUM(G4:G16)</f>
        <v>930</v>
      </c>
      <c r="H17" s="12"/>
      <c r="I17" s="13" t="n">
        <f aca="false">SUM(I4:I16)</f>
        <v>228</v>
      </c>
      <c r="J17" s="13" t="n">
        <f aca="false">SUM(J4:J16)</f>
        <v>702</v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A2E"/>
    <pageSetUpPr fitToPage="false"/>
  </sheetPr>
  <dimension ref="A1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8"/>
    <col collapsed="false" customWidth="true" hidden="false" outlineLevel="0" max="3" min="3" style="0" width="28"/>
    <col collapsed="false" customWidth="true" hidden="false" outlineLevel="0" max="4" min="4" style="0" width="24"/>
    <col collapsed="false" customWidth="true" hidden="false" outlineLevel="0" max="5" min="5" style="0" width="16"/>
    <col collapsed="false" customWidth="true" hidden="false" outlineLevel="0" max="6" min="6" style="0" width="6"/>
  </cols>
  <sheetData>
    <row r="1" customFormat="false" ht="49.5" hidden="false" customHeight="true" outlineLevel="0" collapsed="false">
      <c r="A1" s="14" t="s">
        <v>57</v>
      </c>
      <c r="B1" s="14"/>
      <c r="C1" s="14"/>
      <c r="D1" s="14"/>
      <c r="E1" s="14"/>
      <c r="F1" s="14"/>
    </row>
    <row r="3" customFormat="false" ht="27.75" hidden="false" customHeight="true" outlineLevel="0" collapsed="false">
      <c r="A3" s="15" t="s">
        <v>58</v>
      </c>
      <c r="B3" s="16" t="n">
        <f aca="false">SUM(Vendas!G4:G1000)</f>
        <v>1860</v>
      </c>
      <c r="C3" s="17" t="s">
        <v>59</v>
      </c>
      <c r="D3" s="3" t="s">
        <v>60</v>
      </c>
      <c r="E3" s="3" t="s">
        <v>61</v>
      </c>
    </row>
    <row r="4" customFormat="false" ht="24" hidden="false" customHeight="true" outlineLevel="0" collapsed="false">
      <c r="D4" s="18" t="s">
        <v>52</v>
      </c>
      <c r="E4" s="19" t="n">
        <f aca="false">SUMIF(Vendas!B4:B1000,"Feira Glória",Vendas!G4:G1000)</f>
        <v>930</v>
      </c>
    </row>
    <row r="5" customFormat="false" ht="24" hidden="false" customHeight="true" outlineLevel="0" collapsed="false">
      <c r="A5" s="15" t="s">
        <v>62</v>
      </c>
      <c r="B5" s="16" t="n">
        <f aca="false">SUM(Vendas!I4:I1000)</f>
        <v>456</v>
      </c>
      <c r="D5" s="18" t="s">
        <v>63</v>
      </c>
      <c r="E5" s="19" t="n">
        <f aca="false">SUMIF(Vendas!B4:B1000,"Feira Lavradio",Vendas!G4:G1000)</f>
        <v>0</v>
      </c>
    </row>
    <row r="6" customFormat="false" ht="24" hidden="false" customHeight="true" outlineLevel="0" collapsed="false">
      <c r="D6" s="18" t="s">
        <v>64</v>
      </c>
      <c r="E6" s="19" t="n">
        <f aca="false">SUMIF(Vendas!B4:B1000,"Online",Vendas!G4:G1000)</f>
        <v>0</v>
      </c>
    </row>
    <row r="7" customFormat="false" ht="27.75" hidden="false" customHeight="true" outlineLevel="0" collapsed="false">
      <c r="A7" s="15" t="s">
        <v>65</v>
      </c>
      <c r="B7" s="16" t="n">
        <f aca="false">B3-B5</f>
        <v>1404</v>
      </c>
    </row>
    <row r="8" customFormat="false" ht="27.75" hidden="false" customHeight="true" outlineLevel="0" collapsed="false">
      <c r="D8" s="3" t="s">
        <v>66</v>
      </c>
      <c r="E8" s="3" t="s">
        <v>61</v>
      </c>
    </row>
    <row r="9" customFormat="false" ht="21.75" hidden="false" customHeight="true" outlineLevel="0" collapsed="false">
      <c r="A9" s="15" t="s">
        <v>67</v>
      </c>
      <c r="B9" s="20" t="n">
        <f aca="false">IF(B3&gt;0,B7/B3,0)</f>
        <v>0.754838709677419</v>
      </c>
      <c r="D9" s="18" t="s">
        <v>12</v>
      </c>
      <c r="E9" s="19" t="n">
        <f aca="false">SUMIF(Vendas!C4:C1000,"Top",Vendas!G4:G1000)</f>
        <v>425</v>
      </c>
    </row>
    <row r="10" customFormat="false" ht="21.75" hidden="false" customHeight="true" outlineLevel="0" collapsed="false">
      <c r="D10" s="18" t="s">
        <v>14</v>
      </c>
      <c r="E10" s="19" t="n">
        <f aca="false">SUMIF(Vendas!C4:C1000,"Biquíni (sutiã)",Vendas!G4:G1000)</f>
        <v>325</v>
      </c>
    </row>
    <row r="11" customFormat="false" ht="21.75" hidden="false" customHeight="true" outlineLevel="0" collapsed="false">
      <c r="A11" s="15" t="s">
        <v>68</v>
      </c>
      <c r="B11" s="16" t="n">
        <f aca="false">IF(SUM(Vendas!D4:D1000)&gt;0,B3/SUM(Vendas!D4:D1000),0)</f>
        <v>124</v>
      </c>
      <c r="D11" s="18" t="s">
        <v>16</v>
      </c>
      <c r="E11" s="19" t="n">
        <f aca="false">SUMIF(Vendas!C4:C1000,"Turbante",Vendas!G4:G1000)</f>
        <v>0</v>
      </c>
    </row>
    <row r="12" customFormat="false" ht="21.75" hidden="false" customHeight="true" outlineLevel="0" collapsed="false">
      <c r="D12" s="18" t="s">
        <v>18</v>
      </c>
      <c r="E12" s="19" t="n">
        <f aca="false">SUMIF(Vendas!C4:C1000,"Faixa Triangular",Vendas!G4:G1000)</f>
        <v>105</v>
      </c>
    </row>
    <row r="13" customFormat="false" ht="21.75" hidden="false" customHeight="true" outlineLevel="0" collapsed="false">
      <c r="A13" s="15" t="s">
        <v>69</v>
      </c>
      <c r="B13" s="21" t="n">
        <f aca="false">SUM(Vendas!D4:D1000)</f>
        <v>15</v>
      </c>
      <c r="D13" s="18" t="s">
        <v>19</v>
      </c>
      <c r="E13" s="19" t="n">
        <f aca="false">SUMIF(Vendas!C4:C1000,"Faixa de Amarrar",Vendas!G4:G1000)</f>
        <v>35</v>
      </c>
    </row>
    <row r="14" customFormat="false" ht="21.75" hidden="false" customHeight="true" outlineLevel="0" collapsed="false">
      <c r="D14" s="18" t="s">
        <v>20</v>
      </c>
      <c r="E14" s="19" t="n">
        <f aca="false">SUMIF(Vendas!C4:C1000,"Faixa Larga",Vendas!G4:G1000)</f>
        <v>0</v>
      </c>
    </row>
    <row r="15" customFormat="false" ht="21.75" hidden="false" customHeight="true" outlineLevel="0" collapsed="false">
      <c r="D15" s="18" t="s">
        <v>21</v>
      </c>
      <c r="E15" s="19" t="n">
        <f aca="false">SUMIF(Vendas!C4:C1000,"Touca",Vendas!G4:G1000)</f>
        <v>0</v>
      </c>
    </row>
    <row r="16" customFormat="false" ht="21.75" hidden="false" customHeight="true" outlineLevel="0" collapsed="false">
      <c r="D16" s="18" t="s">
        <v>22</v>
      </c>
      <c r="E16" s="19" t="n">
        <f aca="false">SUMIF(Vendas!C4:C1000,"Boné",Vendas!G4:G1000)</f>
        <v>40</v>
      </c>
    </row>
    <row r="17" customFormat="false" ht="21.75" hidden="false" customHeight="true" outlineLevel="0" collapsed="false">
      <c r="D17" s="18" t="s">
        <v>23</v>
      </c>
      <c r="E17" s="19" t="n">
        <f aca="false">SUMIF(Vendas!C4:C1000,"Bolsa",Vendas!G4:G1000)</f>
        <v>0</v>
      </c>
    </row>
    <row r="18" customFormat="false" ht="21.75" hidden="false" customHeight="true" outlineLevel="0" collapsed="false">
      <c r="D18" s="18" t="s">
        <v>24</v>
      </c>
      <c r="E18" s="19" t="n">
        <f aca="false">SUMIF(Vendas!C4:C1000,"Saia",Vendas!G4:G1000)</f>
        <v>0</v>
      </c>
    </row>
    <row r="19" customFormat="false" ht="21.75" hidden="false" customHeight="true" outlineLevel="0" collapsed="false">
      <c r="D19" s="18" t="s">
        <v>25</v>
      </c>
      <c r="E19" s="19" t="n">
        <f aca="false">SUMIF(Vendas!C4:C1000,"Poncho",Vendas!G4:G1000)</f>
        <v>0</v>
      </c>
    </row>
    <row r="20" customFormat="false" ht="21.75" hidden="false" customHeight="true" outlineLevel="0" collapsed="false">
      <c r="D20" s="18" t="s">
        <v>26</v>
      </c>
      <c r="E20" s="19" t="n">
        <f aca="false">SUMIF(Vendas!C4:C1000,"Saia Macramê",Vendas!G4:G1000)</f>
        <v>0</v>
      </c>
    </row>
    <row r="21" customFormat="false" ht="21.75" hidden="false" customHeight="true" outlineLevel="0" collapsed="false">
      <c r="D21" s="18" t="s">
        <v>28</v>
      </c>
      <c r="E21" s="19" t="n">
        <f aca="false">SUMIF(Vendas!C4:C1000,"Macramê (outros)",Vendas!G4:G1000)</f>
        <v>0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2026-05-01T15:21:21Z</dcterms:created>
  <dc:creator>openpyxl</dc:creator>
  <dc:description/>
  <dc:language>en-US</dc:language>
  <cp:lastModifiedBy/>
  <dcterms:modified xsi:type="dcterms:W3CDTF">2026-05-01T15:21:21Z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